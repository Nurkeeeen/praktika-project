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Чувствительность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Эффект" sheetId="4" state="visible" r:id="rId4"/>
    <sheet xmlns:r="http://schemas.openxmlformats.org/officeDocument/2006/relationships" name="TCO" sheetId="5" state="visible" r:id="rId5"/>
    <sheet xmlns:r="http://schemas.openxmlformats.org/officeDocument/2006/relationships" name="Источники и допущения" sheetId="6" state="visible" r:id="rId6"/>
  </sheets>
  <definedNames>
    <definedName name="usd_kzt">'Параметры'!$C$4</definedName>
    <definedName name="discount_rate">'Параметры'!$C$5</definedName>
    <definedName name="vat">'Параметры'!$C$6</definedName>
    <definedName name="salary_edu">'Параметры'!$C$7</definedName>
    <definedName name="salary_dev">'Параметры'!$C$8</definedName>
    <definedName name="payroll_factor">'Параметры'!$C$9</definedName>
    <definedName name="hours_month">'Параметры'!$C$10</definedName>
    <definedName name="methodist_h_before">'Параметры'!$C$11</definedName>
    <definedName name="methodist_h_after">'Параметры'!$C$12</definedName>
    <definedName name="active_weeks">'Параметры'!$C$13</definedName>
    <definedName name="curators">'Параметры'!$C$14</definedName>
    <definedName name="curator_h_week">'Параметры'!$C$15</definedName>
    <definedName name="curator_saving">'Параметры'!$C$16</definedName>
    <definedName name="curator_weeks">'Параметры'!$C$17</definedName>
    <definedName name="lost_cases_year">'Параметры'!$C$18</definedName>
    <definedName name="lost_case_hours">'Параметры'!$C$19</definedName>
    <definedName name="ramp_y1">'Параметры'!$C$20</definedName>
    <definedName name="dev_hours">'Параметры'!$C$21</definedName>
    <definedName name="pm_ba_hours">'Параметры'!$C$22</definedName>
    <definedName name="migration_hours">'Параметры'!$C$23</definedName>
    <definedName name="users_trained">'Параметры'!$C$24</definedName>
    <definedName name="training_h_user">'Параметры'!$C$25</definedName>
    <definedName name="retraining_h_year">'Параметры'!$C$26</definedName>
    <definedName name="support_h_month">'Параметры'!$C$27</definedName>
    <definedName name="vps_month">'Параметры'!$C$28</definedName>
    <definedName name="backup_vps_month">'Параметры'!$C$29</definedName>
    <definedName name="ws_license_usd">'Параметры'!$C$30</definedName>
    <definedName name="sql_2core_usd">'Параметры'!$C$31</definedName>
    <definedName name="sql_packs">'Параметры'!$C$32</definedName>
    <definedName name="b24_month">'Параметры'!$C$33</definedName>
    <definedName name="b24_setup_hours">'Параметры'!$C$34</definedName>
    <definedName name="b24_support_h_month">'Параметры'!$C$35</definedName>
    <definedName name="b24_benefit_share">'Параметры'!$C$36</definedName>
    <definedName name="decommission_hours">'Параметры'!$C$37</definedName>
    <definedName name="b24_decommission_hours">'Параметры'!$C$38</definedName>
    <definedName name="rate_edu">'Эффект'!$B$3</definedName>
    <definedName name="rate_dev">'Эффект'!$B$4</definedName>
    <definedName name="h_methodist">'Эффект'!$B$5</definedName>
    <definedName name="h_curators">'Эффект'!$B$6</definedName>
    <definedName name="h_lost">'Эффект'!$B$7</definedName>
    <definedName name="h_total">'Эффект'!$B$8</definedName>
    <definedName name="annual_benefit">'Эффект'!$B$9</definedName>
    <definedName name="cost_of_delay">'Эффект'!$B$10</definedName>
    <definedName name="df_row">'TCO'!$C$4:$F$4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#,##0&quot; ₸&quot;"/>
    <numFmt numFmtId="166" formatCode="0.000"/>
    <numFmt numFmtId="167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165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  <xf numFmtId="2" fontId="0" fillId="3" borderId="0" pivotButton="0" quotePrefix="0" xfId="0"/>
    <xf numFmtId="164" fontId="0" fillId="3" borderId="0" pivotButton="0" quotePrefix="0" xfId="0"/>
    <xf numFmtId="9" fontId="0" fillId="3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  <xf numFmtId="166" fontId="0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165" fontId="1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по вариантам, ₸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'Сводка'!$A$4:$A$8</f>
            </numRef>
          </cat>
          <val>
            <numRef>
              <f>'Сводка'!$E$4:$E$8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Сводка: TCO, ROI, NPV и окупаемость за 3 года (базовый сценарий)</t>
        </is>
      </c>
    </row>
    <row r="3">
      <c r="A3" s="2" t="inlineStr">
        <is>
          <t>Вариант</t>
        </is>
      </c>
      <c r="B3" s="2" t="inlineStr">
        <is>
          <t>TCO 3 года, ₸</t>
        </is>
      </c>
      <c r="C3" s="2" t="inlineStr">
        <is>
          <t>Выгода 3 года, ₸</t>
        </is>
      </c>
      <c r="D3" s="2" t="inlineStr">
        <is>
          <t>ROI</t>
        </is>
      </c>
      <c r="E3" s="2" t="inlineStr">
        <is>
          <t>NPV, ₸</t>
        </is>
      </c>
      <c r="F3" s="2" t="inlineStr">
        <is>
          <t>Окупаемость, лет эксплуатации</t>
        </is>
      </c>
    </row>
    <row r="4">
      <c r="A4" t="inlineStr">
        <is>
          <t>В0. Ничего не делать (Excel + почта)</t>
        </is>
      </c>
      <c r="B4" s="3">
        <f>TCO!G7</f>
        <v/>
      </c>
      <c r="C4" s="3">
        <f>TCO!G8</f>
        <v/>
      </c>
      <c r="D4" s="4">
        <f>IF(B4=0,"—",(C4-B4)/B4)</f>
        <v/>
      </c>
      <c r="E4" s="3">
        <f>SUMPRODUCT(TCO!C9:F9,df_row)</f>
        <v/>
      </c>
      <c r="F4" s="5">
        <f>IF(B4=0,"—",IF(TCO!D10&gt;=0,-TCO!C10/TCO!D9,IF(TCO!E10&gt;=0,1-TCO!D10/TCO!E9,IF(TCO!F10&gt;=0,2-TCO!E10/TCO!F9,"не окупается за 3 года"))))</f>
        <v/>
      </c>
    </row>
    <row r="5">
      <c r="A5" t="inlineStr">
        <is>
          <t>В1. Купить готовое: Битрикс24 «Стандартный»</t>
        </is>
      </c>
      <c r="B5" s="3">
        <f>TCO!G19</f>
        <v/>
      </c>
      <c r="C5" s="3">
        <f>TCO!G20</f>
        <v/>
      </c>
      <c r="D5" s="4">
        <f>IF(B5=0,"—",(C5-B5)/B5)</f>
        <v/>
      </c>
      <c r="E5" s="3">
        <f>SUMPRODUCT(TCO!C21:F21,df_row)</f>
        <v/>
      </c>
      <c r="F5" s="5">
        <f>IF(B5=0,"—",IF(TCO!D22&gt;=0,-TCO!C22/TCO!D21,IF(TCO!E22&gt;=0,1-TCO!D22/TCO!E21,IF(TCO!F22&gt;=0,2-TCO!E22/TCO!F21,"не окупается за 3 года"))))</f>
        <v/>
      </c>
    </row>
    <row r="6">
      <c r="A6" t="inlineStr">
        <is>
          <t>В2. Своя разработка, проприетарный стек (Windows Server + SQL Server)</t>
        </is>
      </c>
      <c r="B6" s="3">
        <f>TCO!G32</f>
        <v/>
      </c>
      <c r="C6" s="3">
        <f>TCO!G33</f>
        <v/>
      </c>
      <c r="D6" s="4">
        <f>IF(B6=0,"—",(C6-B6)/B6)</f>
        <v/>
      </c>
      <c r="E6" s="3">
        <f>SUMPRODUCT(TCO!C34:F34,df_row)</f>
        <v/>
      </c>
      <c r="F6" s="5">
        <f>IF(B6=0,"—",IF(TCO!D35&gt;=0,-TCO!C35/TCO!D34,IF(TCO!E35&gt;=0,1-TCO!D35/TCO!E34,IF(TCO!F35&gt;=0,2-TCO!E35/TCO!F34,"не окупается за 3 года"))))</f>
        <v/>
      </c>
    </row>
    <row r="7">
      <c r="A7" t="inlineStr">
        <is>
          <t>В3. Своя разработка, открытый стек (Linux + PostgreSQL + Python)</t>
        </is>
      </c>
      <c r="B7" s="3">
        <f>TCO!G44</f>
        <v/>
      </c>
      <c r="C7" s="3">
        <f>TCO!G45</f>
        <v/>
      </c>
      <c r="D7" s="4">
        <f>IF(B7=0,"—",(C7-B7)/B7)</f>
        <v/>
      </c>
      <c r="E7" s="3">
        <f>SUMPRODUCT(TCO!C46:F46,df_row)</f>
        <v/>
      </c>
      <c r="F7" s="5">
        <f>IF(B7=0,"—",IF(TCO!D47&gt;=0,-TCO!C47/TCO!D46,IF(TCO!E47&gt;=0,1-TCO!D47/TCO!E46,IF(TCO!F47&gt;=0,2-TCO!E47/TCO!F46,"не окупается за 3 года"))))</f>
        <v/>
      </c>
    </row>
    <row r="8">
      <c r="A8" t="inlineStr">
        <is>
          <t>В3-С. Открытый стек силами студенческой команды (рекомендуется)</t>
        </is>
      </c>
      <c r="B8" s="3">
        <f>TCO!G56</f>
        <v/>
      </c>
      <c r="C8" s="3">
        <f>TCO!G57</f>
        <v/>
      </c>
      <c r="D8" s="4">
        <f>IF(B8=0,"—",(C8-B8)/B8)</f>
        <v/>
      </c>
      <c r="E8" s="3">
        <f>SUMPRODUCT(TCO!C58:F58,df_row)</f>
        <v/>
      </c>
      <c r="F8" s="5">
        <f>IF(B8=0,"—",IF(TCO!D59&gt;=0,-TCO!C59/TCO!D58,IF(TCO!E59&gt;=0,1-TCO!D59/TCO!E58,IF(TCO!F59&gt;=0,2-TCO!E59/TCO!F58,"не окупается за 3 года"))))</f>
        <v/>
      </c>
    </row>
    <row r="10">
      <c r="A10" t="inlineStr">
        <is>
          <t>Формулы: ROI = (Σ выгод − Σ затрат) / Σ затрат;  NPV = Σ (выгода_t − затраты_t) / (1 + r)^t, r = discount_rate;</t>
        </is>
      </c>
    </row>
    <row r="11">
      <c r="A11" t="inlineStr">
        <is>
          <t>окупаемость — момент, когда накопленный поток становится ≥ 0 (линейная интерполяция внутри года).</t>
        </is>
      </c>
    </row>
    <row r="13">
      <c r="A13" s="6" t="inlineStr">
        <is>
          <t>Открытое ПО против проприетарного (В3 против В2)</t>
        </is>
      </c>
    </row>
    <row r="14">
      <c r="A14" t="inlineStr">
        <is>
          <t>Разница TCO за 3 года, ₸</t>
        </is>
      </c>
      <c r="B14" s="3">
        <f>B6-B7</f>
        <v/>
      </c>
    </row>
    <row r="15">
      <c r="A15" t="inlineStr">
        <is>
          <t>из них лицензии Windows Server + SQL Server (с НДС), ₸</t>
        </is>
      </c>
      <c r="B15" s="3">
        <f>(ws_license_usd+sql_2core_usd*sql_packs)*usd_kzt*(1+vat)</f>
        <v/>
      </c>
    </row>
    <row r="16">
      <c r="A16" t="inlineStr">
        <is>
          <t>Во сколько раз лицензии больше годового эффекта</t>
        </is>
      </c>
      <c r="B16" s="5">
        <f>B15/annual_benefit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Анализ чувствительности: затраты × k_c, выгода × k_b (жёлтые ячейки можно менять)</t>
        </is>
      </c>
    </row>
    <row r="2">
      <c r="B2" s="6" t="inlineStr">
        <is>
          <t>База</t>
        </is>
      </c>
      <c r="D2" s="6" t="inlineStr">
        <is>
          <t>Затраты +30 %</t>
        </is>
      </c>
      <c r="F2" s="6" t="inlineStr">
        <is>
          <t>Эффект 50 %</t>
        </is>
      </c>
      <c r="H2" s="6" t="inlineStr">
        <is>
          <t>Затраты +30 % и эффект 50 %</t>
        </is>
      </c>
    </row>
    <row r="3">
      <c r="A3" t="inlineStr">
        <is>
          <t>k_c — множитель затрат</t>
        </is>
      </c>
      <c r="B3" s="7" t="n">
        <v>1</v>
      </c>
      <c r="D3" s="7" t="n">
        <v>1.3</v>
      </c>
      <c r="F3" s="7" t="n">
        <v>1</v>
      </c>
      <c r="H3" s="7" t="n">
        <v>1.3</v>
      </c>
    </row>
    <row r="4">
      <c r="A4" t="inlineStr">
        <is>
          <t>k_b — множитель выгоды</t>
        </is>
      </c>
      <c r="B4" s="7" t="n">
        <v>1</v>
      </c>
      <c r="D4" s="7" t="n">
        <v>1</v>
      </c>
      <c r="F4" s="7" t="n">
        <v>0.5</v>
      </c>
      <c r="H4" s="7" t="n">
        <v>0.5</v>
      </c>
    </row>
    <row r="5">
      <c r="B5" s="6" t="inlineStr">
        <is>
          <t>ROI</t>
        </is>
      </c>
      <c r="C5" s="6" t="inlineStr">
        <is>
          <t>NPV, ₸</t>
        </is>
      </c>
      <c r="D5" s="6" t="inlineStr">
        <is>
          <t>ROI</t>
        </is>
      </c>
      <c r="E5" s="6" t="inlineStr">
        <is>
          <t>NPV, ₸</t>
        </is>
      </c>
      <c r="F5" s="6" t="inlineStr">
        <is>
          <t>ROI</t>
        </is>
      </c>
      <c r="G5" s="6" t="inlineStr">
        <is>
          <t>NPV, ₸</t>
        </is>
      </c>
      <c r="H5" s="6" t="inlineStr">
        <is>
          <t>ROI</t>
        </is>
      </c>
      <c r="I5" s="6" t="inlineStr">
        <is>
          <t>NPV, ₸</t>
        </is>
      </c>
    </row>
    <row r="6">
      <c r="A6" t="inlineStr">
        <is>
          <t>В0. Ничего не делать (Excel + почта)</t>
        </is>
      </c>
      <c r="B6" s="4">
        <f>IF(TCO!G7=0,"—",($B$4*TCO!G8-$B$3*TCO!G7)/($B$3*TCO!G7))</f>
        <v/>
      </c>
      <c r="C6" s="3">
        <f>$B$4*SUMPRODUCT(TCO!C8:F8,df_row)-$B$3*SUMPRODUCT(TCO!C7:F7,df_row)</f>
        <v/>
      </c>
      <c r="D6" s="4">
        <f>IF(TCO!G7=0,"—",($D$4*TCO!G8-$D$3*TCO!G7)/($D$3*TCO!G7))</f>
        <v/>
      </c>
      <c r="E6" s="3">
        <f>$D$4*SUMPRODUCT(TCO!C8:F8,df_row)-$D$3*SUMPRODUCT(TCO!C7:F7,df_row)</f>
        <v/>
      </c>
      <c r="F6" s="4">
        <f>IF(TCO!G7=0,"—",($F$4*TCO!G8-$F$3*TCO!G7)/($F$3*TCO!G7))</f>
        <v/>
      </c>
      <c r="G6" s="3">
        <f>$F$4*SUMPRODUCT(TCO!C8:F8,df_row)-$F$3*SUMPRODUCT(TCO!C7:F7,df_row)</f>
        <v/>
      </c>
      <c r="H6" s="4">
        <f>IF(TCO!G7=0,"—",($H$4*TCO!G8-$H$3*TCO!G7)/($H$3*TCO!G7))</f>
        <v/>
      </c>
      <c r="I6" s="3">
        <f>$H$4*SUMPRODUCT(TCO!C8:F8,df_row)-$H$3*SUMPRODUCT(TCO!C7:F7,df_row)</f>
        <v/>
      </c>
    </row>
    <row r="7">
      <c r="A7" t="inlineStr">
        <is>
          <t>В1. Купить готовое: Битрикс24 «Стандартный»</t>
        </is>
      </c>
      <c r="B7" s="4">
        <f>IF(TCO!G19=0,"—",($B$4*TCO!G20-$B$3*TCO!G19)/($B$3*TCO!G19))</f>
        <v/>
      </c>
      <c r="C7" s="3">
        <f>$B$4*SUMPRODUCT(TCO!C20:F20,df_row)-$B$3*SUMPRODUCT(TCO!C19:F19,df_row)</f>
        <v/>
      </c>
      <c r="D7" s="4">
        <f>IF(TCO!G19=0,"—",($D$4*TCO!G20-$D$3*TCO!G19)/($D$3*TCO!G19))</f>
        <v/>
      </c>
      <c r="E7" s="3">
        <f>$D$4*SUMPRODUCT(TCO!C20:F20,df_row)-$D$3*SUMPRODUCT(TCO!C19:F19,df_row)</f>
        <v/>
      </c>
      <c r="F7" s="4">
        <f>IF(TCO!G19=0,"—",($F$4*TCO!G20-$F$3*TCO!G19)/($F$3*TCO!G19))</f>
        <v/>
      </c>
      <c r="G7" s="3">
        <f>$F$4*SUMPRODUCT(TCO!C20:F20,df_row)-$F$3*SUMPRODUCT(TCO!C19:F19,df_row)</f>
        <v/>
      </c>
      <c r="H7" s="4">
        <f>IF(TCO!G19=0,"—",($H$4*TCO!G20-$H$3*TCO!G19)/($H$3*TCO!G19))</f>
        <v/>
      </c>
      <c r="I7" s="3">
        <f>$H$4*SUMPRODUCT(TCO!C20:F20,df_row)-$H$3*SUMPRODUCT(TCO!C19:F19,df_row)</f>
        <v/>
      </c>
    </row>
    <row r="8">
      <c r="A8" t="inlineStr">
        <is>
          <t>В2. Своя разработка, проприетарный стек (Windows Server + SQL Server)</t>
        </is>
      </c>
      <c r="B8" s="4">
        <f>IF(TCO!G32=0,"—",($B$4*TCO!G33-$B$3*TCO!G32)/($B$3*TCO!G32))</f>
        <v/>
      </c>
      <c r="C8" s="3">
        <f>$B$4*SUMPRODUCT(TCO!C33:F33,df_row)-$B$3*SUMPRODUCT(TCO!C32:F32,df_row)</f>
        <v/>
      </c>
      <c r="D8" s="4">
        <f>IF(TCO!G32=0,"—",($D$4*TCO!G33-$D$3*TCO!G32)/($D$3*TCO!G32))</f>
        <v/>
      </c>
      <c r="E8" s="3">
        <f>$D$4*SUMPRODUCT(TCO!C33:F33,df_row)-$D$3*SUMPRODUCT(TCO!C32:F32,df_row)</f>
        <v/>
      </c>
      <c r="F8" s="4">
        <f>IF(TCO!G32=0,"—",($F$4*TCO!G33-$F$3*TCO!G32)/($F$3*TCO!G32))</f>
        <v/>
      </c>
      <c r="G8" s="3">
        <f>$F$4*SUMPRODUCT(TCO!C33:F33,df_row)-$F$3*SUMPRODUCT(TCO!C32:F32,df_row)</f>
        <v/>
      </c>
      <c r="H8" s="4">
        <f>IF(TCO!G32=0,"—",($H$4*TCO!G33-$H$3*TCO!G32)/($H$3*TCO!G32))</f>
        <v/>
      </c>
      <c r="I8" s="3">
        <f>$H$4*SUMPRODUCT(TCO!C33:F33,df_row)-$H$3*SUMPRODUCT(TCO!C32:F32,df_row)</f>
        <v/>
      </c>
    </row>
    <row r="9">
      <c r="A9" t="inlineStr">
        <is>
          <t>В3. Своя разработка, открытый стек (Linux + PostgreSQL + Python)</t>
        </is>
      </c>
      <c r="B9" s="4">
        <f>IF(TCO!G44=0,"—",($B$4*TCO!G45-$B$3*TCO!G44)/($B$3*TCO!G44))</f>
        <v/>
      </c>
      <c r="C9" s="3">
        <f>$B$4*SUMPRODUCT(TCO!C45:F45,df_row)-$B$3*SUMPRODUCT(TCO!C44:F44,df_row)</f>
        <v/>
      </c>
      <c r="D9" s="4">
        <f>IF(TCO!G44=0,"—",($D$4*TCO!G45-$D$3*TCO!G44)/($D$3*TCO!G44))</f>
        <v/>
      </c>
      <c r="E9" s="3">
        <f>$D$4*SUMPRODUCT(TCO!C45:F45,df_row)-$D$3*SUMPRODUCT(TCO!C44:F44,df_row)</f>
        <v/>
      </c>
      <c r="F9" s="4">
        <f>IF(TCO!G44=0,"—",($F$4*TCO!G45-$F$3*TCO!G44)/($F$3*TCO!G44))</f>
        <v/>
      </c>
      <c r="G9" s="3">
        <f>$F$4*SUMPRODUCT(TCO!C45:F45,df_row)-$F$3*SUMPRODUCT(TCO!C44:F44,df_row)</f>
        <v/>
      </c>
      <c r="H9" s="4">
        <f>IF(TCO!G44=0,"—",($H$4*TCO!G45-$H$3*TCO!G44)/($H$3*TCO!G44))</f>
        <v/>
      </c>
      <c r="I9" s="3">
        <f>$H$4*SUMPRODUCT(TCO!C45:F45,df_row)-$H$3*SUMPRODUCT(TCO!C44:F44,df_row)</f>
        <v/>
      </c>
    </row>
    <row r="10">
      <c r="A10" t="inlineStr">
        <is>
          <t>В3-С. Открытый стек силами студенческой команды (рекомендуется)</t>
        </is>
      </c>
      <c r="B10" s="4">
        <f>IF(TCO!G56=0,"—",($B$4*TCO!G57-$B$3*TCO!G56)/($B$3*TCO!G56))</f>
        <v/>
      </c>
      <c r="C10" s="3">
        <f>$B$4*SUMPRODUCT(TCO!C57:F57,df_row)-$B$3*SUMPRODUCT(TCO!C56:F56,df_row)</f>
        <v/>
      </c>
      <c r="D10" s="4">
        <f>IF(TCO!G56=0,"—",($D$4*TCO!G57-$D$3*TCO!G56)/($D$3*TCO!G56))</f>
        <v/>
      </c>
      <c r="E10" s="3">
        <f>$D$4*SUMPRODUCT(TCO!C57:F57,df_row)-$D$3*SUMPRODUCT(TCO!C56:F56,df_row)</f>
        <v/>
      </c>
      <c r="F10" s="4">
        <f>IF(TCO!G56=0,"—",($F$4*TCO!G57-$F$3*TCO!G56)/($F$3*TCO!G56))</f>
        <v/>
      </c>
      <c r="G10" s="3">
        <f>$F$4*SUMPRODUCT(TCO!C57:F57,df_row)-$F$3*SUMPRODUCT(TCO!C56:F56,df_row)</f>
        <v/>
      </c>
      <c r="H10" s="4">
        <f>IF(TCO!G56=0,"—",($H$4*TCO!G57-$H$3*TCO!G56)/($H$3*TCO!G56))</f>
        <v/>
      </c>
      <c r="I10" s="3">
        <f>$H$4*SUMPRODUCT(TCO!C57:F57,df_row)-$H$3*SUMPRODUCT(TCO!C56:F56,df_row)</f>
        <v/>
      </c>
    </row>
    <row r="12">
      <c r="A12" t="inlineStr">
        <is>
          <t>Точка безубыточности для В3-С: при каком множителе выгоды NPV = 0 (при базовых затратах)</t>
        </is>
      </c>
      <c r="B12" s="4">
        <f>SUMPRODUCT(TCO!C56:F56,df_row)/SUMPRODUCT(TCO!C57:F57,df_row)</f>
        <v/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8" customWidth="1" min="4" max="4"/>
    <col width="22" customWidth="1" min="5" max="5"/>
  </cols>
  <sheetData>
    <row r="1">
      <c r="A1" s="6" t="inlineStr">
        <is>
          <t>Параметры модели. Жёлтые ячейки можно менять — пересчитаются все листы.</t>
        </is>
      </c>
    </row>
    <row r="3">
      <c r="A3" s="2" t="inlineStr">
        <is>
          <t>Ключ</t>
        </is>
      </c>
      <c r="B3" s="2" t="inlineStr">
        <is>
          <t>Параметр</t>
        </is>
      </c>
      <c r="C3" s="2" t="inlineStr">
        <is>
          <t>Значение</t>
        </is>
      </c>
      <c r="D3" s="2" t="inlineStr">
        <is>
          <t>Ед.</t>
        </is>
      </c>
      <c r="E3" s="2" t="inlineStr">
        <is>
          <t>Источник / допущение</t>
        </is>
      </c>
    </row>
    <row r="4">
      <c r="A4" t="inlineStr">
        <is>
          <t>usd_kzt</t>
        </is>
      </c>
      <c r="B4" t="inlineStr">
        <is>
          <t>Курс USD/KZT</t>
        </is>
      </c>
      <c r="C4" s="8" t="n">
        <v>445.65</v>
      </c>
      <c r="D4" t="inlineStr">
        <is>
          <t>₸</t>
        </is>
      </c>
      <c r="E4" t="inlineStr">
        <is>
          <t>S6</t>
        </is>
      </c>
    </row>
    <row r="5">
      <c r="A5" t="inlineStr">
        <is>
          <t>discount_rate</t>
        </is>
      </c>
      <c r="B5" t="inlineStr">
        <is>
          <t>Ставка дисконтирования (базовая ставка НБ РК)</t>
        </is>
      </c>
      <c r="C5" s="9" t="n">
        <v>0.1625</v>
      </c>
      <c r="D5" t="inlineStr">
        <is>
          <t>%</t>
        </is>
      </c>
      <c r="E5" t="inlineStr">
        <is>
          <t>S7</t>
        </is>
      </c>
    </row>
    <row r="6">
      <c r="A6" t="inlineStr">
        <is>
          <t>vat</t>
        </is>
      </c>
      <c r="B6" t="inlineStr">
        <is>
          <t>НДС</t>
        </is>
      </c>
      <c r="C6" s="9" t="n">
        <v>0.16</v>
      </c>
      <c r="D6" t="inlineStr">
        <is>
          <t>%</t>
        </is>
      </c>
      <c r="E6" t="inlineStr">
        <is>
          <t>S8</t>
        </is>
      </c>
    </row>
    <row r="7">
      <c r="A7" t="inlineStr">
        <is>
          <t>salary_edu</t>
        </is>
      </c>
      <c r="B7" t="inlineStr">
        <is>
          <t>Средняя зарплата в образовании (методист, куратор)</t>
        </is>
      </c>
      <c r="C7" s="8" t="n">
        <v>315100</v>
      </c>
      <c r="D7" t="inlineStr">
        <is>
          <t>₸/мес</t>
        </is>
      </c>
      <c r="E7" t="inlineStr">
        <is>
          <t>S1</t>
        </is>
      </c>
    </row>
    <row r="8">
      <c r="A8" t="inlineStr">
        <is>
          <t>salary_dev</t>
        </is>
      </c>
      <c r="B8" t="inlineStr">
        <is>
          <t>Средняя зарплата Junior Python-разработчика</t>
        </is>
      </c>
      <c r="C8" s="8" t="n">
        <v>468000</v>
      </c>
      <c r="D8" t="inlineStr">
        <is>
          <t>₸/мес</t>
        </is>
      </c>
      <c r="E8" t="inlineStr">
        <is>
          <t>S2</t>
        </is>
      </c>
    </row>
    <row r="9">
      <c r="A9" t="inlineStr">
        <is>
          <t>payroll_factor</t>
        </is>
      </c>
      <c r="B9" t="inlineStr">
        <is>
          <t>Коэффициент начислений на ФОТ</t>
        </is>
      </c>
      <c r="C9" s="8" t="n">
        <v>1.15</v>
      </c>
      <c r="D9" t="inlineStr">
        <is>
          <t>×</t>
        </is>
      </c>
      <c r="E9" t="inlineStr">
        <is>
          <t>A1</t>
        </is>
      </c>
    </row>
    <row r="10">
      <c r="A10" t="inlineStr">
        <is>
          <t>hours_month</t>
        </is>
      </c>
      <c r="B10" t="inlineStr">
        <is>
          <t>Рабочих часов в месяце</t>
        </is>
      </c>
      <c r="C10" s="8" t="n">
        <v>168</v>
      </c>
      <c r="D10" t="inlineStr">
        <is>
          <t>ч</t>
        </is>
      </c>
      <c r="E10" t="inlineStr">
        <is>
          <t>A2</t>
        </is>
      </c>
    </row>
    <row r="11">
      <c r="A11" t="inlineStr">
        <is>
          <t>methodist_h_before</t>
        </is>
      </c>
      <c r="B11" t="inlineStr">
        <is>
          <t>Методист: сведение заявок сейчас</t>
        </is>
      </c>
      <c r="C11" s="8" t="n">
        <v>4</v>
      </c>
      <c r="D11" t="inlineStr">
        <is>
          <t>ч/нед</t>
        </is>
      </c>
      <c r="E11" t="inlineStr">
        <is>
          <t>A3</t>
        </is>
      </c>
    </row>
    <row r="12">
      <c r="A12" t="inlineStr">
        <is>
          <t>methodist_h_after</t>
        </is>
      </c>
      <c r="B12" t="inlineStr">
        <is>
          <t>Методист: сведение заявок после внедрения</t>
        </is>
      </c>
      <c r="C12" s="8" t="n">
        <v>1</v>
      </c>
      <c r="D12" t="inlineStr">
        <is>
          <t>ч/нед</t>
        </is>
      </c>
      <c r="E12" t="inlineStr">
        <is>
          <t>A3</t>
        </is>
      </c>
    </row>
    <row r="13">
      <c r="A13" t="inlineStr">
        <is>
          <t>active_weeks</t>
        </is>
      </c>
      <c r="B13" t="inlineStr">
        <is>
          <t>Недель в году с потоком заявок</t>
        </is>
      </c>
      <c r="C13" s="8" t="n">
        <v>36</v>
      </c>
      <c r="D13" t="inlineStr">
        <is>
          <t>нед</t>
        </is>
      </c>
      <c r="E13" t="inlineStr">
        <is>
          <t>A4</t>
        </is>
      </c>
    </row>
    <row r="14">
      <c r="A14" t="inlineStr">
        <is>
          <t>curators</t>
        </is>
      </c>
      <c r="B14" t="inlineStr">
        <is>
          <t>Количество кураторов практики</t>
        </is>
      </c>
      <c r="C14" s="8" t="n">
        <v>12</v>
      </c>
      <c r="D14" t="inlineStr">
        <is>
          <t>чел</t>
        </is>
      </c>
      <c r="E14" t="inlineStr">
        <is>
          <t>A5</t>
        </is>
      </c>
    </row>
    <row r="15">
      <c r="A15" t="inlineStr">
        <is>
          <t>curator_h_week</t>
        </is>
      </c>
      <c r="B15" t="inlineStr">
        <is>
          <t>Куратор: выяснение статусов и сроков</t>
        </is>
      </c>
      <c r="C15" s="8" t="n">
        <v>0.5</v>
      </c>
      <c r="D15" t="inlineStr">
        <is>
          <t>ч/нед</t>
        </is>
      </c>
      <c r="E15" t="inlineStr">
        <is>
          <t>A5</t>
        </is>
      </c>
    </row>
    <row r="16">
      <c r="A16" t="inlineStr">
        <is>
          <t>curator_saving</t>
        </is>
      </c>
      <c r="B16" t="inlineStr">
        <is>
          <t>Доля времени кураторов, снимаемая системой</t>
        </is>
      </c>
      <c r="C16" s="9" t="n">
        <v>0.5</v>
      </c>
      <c r="D16" t="inlineStr">
        <is>
          <t>%</t>
        </is>
      </c>
      <c r="E16" t="inlineStr">
        <is>
          <t>A5</t>
        </is>
      </c>
    </row>
    <row r="17">
      <c r="A17" t="inlineStr">
        <is>
          <t>curator_weeks</t>
        </is>
      </c>
      <c r="B17" t="inlineStr">
        <is>
          <t>Недель практики с отчётами</t>
        </is>
      </c>
      <c r="C17" s="8" t="n">
        <v>30</v>
      </c>
      <c r="D17" t="inlineStr">
        <is>
          <t>нед</t>
        </is>
      </c>
      <c r="E17" t="inlineStr">
        <is>
          <t>A5</t>
        </is>
      </c>
    </row>
    <row r="18">
      <c r="A18" t="inlineStr">
        <is>
          <t>lost_cases_year</t>
        </is>
      </c>
      <c r="B18" t="inlineStr">
        <is>
          <t>Потерянных заявок / жалоб в год</t>
        </is>
      </c>
      <c r="C18" s="8" t="n">
        <v>8</v>
      </c>
      <c r="D18" t="inlineStr">
        <is>
          <t>шт</t>
        </is>
      </c>
      <c r="E18" t="inlineStr">
        <is>
          <t>A16</t>
        </is>
      </c>
    </row>
    <row r="19">
      <c r="A19" t="inlineStr">
        <is>
          <t>lost_case_hours</t>
        </is>
      </c>
      <c r="B19" t="inlineStr">
        <is>
          <t>Часов на разбор одной потерянной заявки</t>
        </is>
      </c>
      <c r="C19" s="8" t="n">
        <v>3</v>
      </c>
      <c r="D19" t="inlineStr">
        <is>
          <t>ч</t>
        </is>
      </c>
      <c r="E19" t="inlineStr">
        <is>
          <t>A16</t>
        </is>
      </c>
    </row>
    <row r="20">
      <c r="A20" t="inlineStr">
        <is>
          <t>ramp_y1</t>
        </is>
      </c>
      <c r="B20" t="inlineStr">
        <is>
          <t>Реализация эффекта в год 1</t>
        </is>
      </c>
      <c r="C20" s="9" t="n">
        <v>0.8</v>
      </c>
      <c r="D20" t="inlineStr">
        <is>
          <t>%</t>
        </is>
      </c>
      <c r="E20" t="inlineStr">
        <is>
          <t>A6</t>
        </is>
      </c>
    </row>
    <row r="21">
      <c r="A21" t="inlineStr">
        <is>
          <t>dev_hours</t>
        </is>
      </c>
      <c r="B21" t="inlineStr">
        <is>
          <t>Трудоёмкость разработки MVP</t>
        </is>
      </c>
      <c r="C21" s="8" t="n">
        <v>480</v>
      </c>
      <c r="D21" t="inlineStr">
        <is>
          <t>ч</t>
        </is>
      </c>
      <c r="E21" t="inlineStr">
        <is>
          <t>A7</t>
        </is>
      </c>
    </row>
    <row r="22">
      <c r="A22" t="inlineStr">
        <is>
          <t>pm_ba_hours</t>
        </is>
      </c>
      <c r="B22" t="inlineStr">
        <is>
          <t>Трудоёмкость PM и аналитики</t>
        </is>
      </c>
      <c r="C22" s="8" t="n">
        <v>120</v>
      </c>
      <c r="D22" t="inlineStr">
        <is>
          <t>ч</t>
        </is>
      </c>
      <c r="E22" t="inlineStr">
        <is>
          <t>A7</t>
        </is>
      </c>
    </row>
    <row r="23">
      <c r="A23" t="inlineStr">
        <is>
          <t>migration_hours</t>
        </is>
      </c>
      <c r="B23" t="inlineStr">
        <is>
          <t>Перенос данных из Excel</t>
        </is>
      </c>
      <c r="C23" s="8" t="n">
        <v>16</v>
      </c>
      <c r="D23" t="inlineStr">
        <is>
          <t>ч</t>
        </is>
      </c>
      <c r="E23" t="inlineStr">
        <is>
          <t>A8</t>
        </is>
      </c>
    </row>
    <row r="24">
      <c r="A24" t="inlineStr">
        <is>
          <t>users_trained</t>
        </is>
      </c>
      <c r="B24" t="inlineStr">
        <is>
          <t>Пользователей к обучению</t>
        </is>
      </c>
      <c r="C24" s="8" t="n">
        <v>15</v>
      </c>
      <c r="D24" t="inlineStr">
        <is>
          <t>чел</t>
        </is>
      </c>
      <c r="E24" t="inlineStr">
        <is>
          <t>A9</t>
        </is>
      </c>
    </row>
    <row r="25">
      <c r="A25" t="inlineStr">
        <is>
          <t>training_h_user</t>
        </is>
      </c>
      <c r="B25" t="inlineStr">
        <is>
          <t>Часов обучения на пользователя</t>
        </is>
      </c>
      <c r="C25" s="8" t="n">
        <v>2</v>
      </c>
      <c r="D25" t="inlineStr">
        <is>
          <t>ч</t>
        </is>
      </c>
      <c r="E25" t="inlineStr">
        <is>
          <t>A9</t>
        </is>
      </c>
    </row>
    <row r="26">
      <c r="A26" t="inlineStr">
        <is>
          <t>retraining_h_year</t>
        </is>
      </c>
      <c r="B26" t="inlineStr">
        <is>
          <t>Обучение новых кураторов</t>
        </is>
      </c>
      <c r="C26" s="8" t="n">
        <v>15</v>
      </c>
      <c r="D26" t="inlineStr">
        <is>
          <t>ч/год</t>
        </is>
      </c>
      <c r="E26" t="inlineStr">
        <is>
          <t>A9</t>
        </is>
      </c>
    </row>
    <row r="27">
      <c r="A27" t="inlineStr">
        <is>
          <t>support_h_month</t>
        </is>
      </c>
      <c r="B27" t="inlineStr">
        <is>
          <t>Поддержка своей системы</t>
        </is>
      </c>
      <c r="C27" s="8" t="n">
        <v>4</v>
      </c>
      <c r="D27" t="inlineStr">
        <is>
          <t>ч/мес</t>
        </is>
      </c>
      <c r="E27" t="inlineStr">
        <is>
          <t>A10</t>
        </is>
      </c>
    </row>
    <row r="28">
      <c r="A28" t="inlineStr">
        <is>
          <t>vps_month</t>
        </is>
      </c>
      <c r="B28" t="inlineStr">
        <is>
          <t>VPS hoster.kz Cloud 1-2-50 (прод)</t>
        </is>
      </c>
      <c r="C28" s="8" t="n">
        <v>4800</v>
      </c>
      <c r="D28" t="inlineStr">
        <is>
          <t>₸/мес</t>
        </is>
      </c>
      <c r="E28" t="inlineStr">
        <is>
          <t>S3</t>
        </is>
      </c>
    </row>
    <row r="29">
      <c r="A29" t="inlineStr">
        <is>
          <t>backup_vps_month</t>
        </is>
      </c>
      <c r="B29" t="inlineStr">
        <is>
          <t>VPS hoster.kz Cloud 1-1-25 (резервные копии)</t>
        </is>
      </c>
      <c r="C29" s="8" t="n">
        <v>3100</v>
      </c>
      <c r="D29" t="inlineStr">
        <is>
          <t>₸/мес</t>
        </is>
      </c>
      <c r="E29" t="inlineStr">
        <is>
          <t>S3</t>
        </is>
      </c>
    </row>
    <row r="30">
      <c r="A30" t="inlineStr">
        <is>
          <t>ws_license_usd</t>
        </is>
      </c>
      <c r="B30" t="inlineStr">
        <is>
          <t>Windows Server 2025 Standard, 16 ядер</t>
        </is>
      </c>
      <c r="C30" s="8" t="n">
        <v>1176</v>
      </c>
      <c r="D30" t="inlineStr">
        <is>
          <t>USD</t>
        </is>
      </c>
      <c r="E30" t="inlineStr">
        <is>
          <t>S5</t>
        </is>
      </c>
    </row>
    <row r="31">
      <c r="A31" t="inlineStr">
        <is>
          <t>sql_2core_usd</t>
        </is>
      </c>
      <c r="B31" t="inlineStr">
        <is>
          <t>SQL Server Standard, пакет 2 ядра</t>
        </is>
      </c>
      <c r="C31" s="8" t="n">
        <v>3945</v>
      </c>
      <c r="D31" t="inlineStr">
        <is>
          <t>USD</t>
        </is>
      </c>
      <c r="E31" t="inlineStr">
        <is>
          <t>S5</t>
        </is>
      </c>
    </row>
    <row r="32">
      <c r="A32" t="inlineStr">
        <is>
          <t>sql_packs</t>
        </is>
      </c>
      <c r="B32" t="inlineStr">
        <is>
          <t>Пакетов SQL Server (минимум 4 ядра)</t>
        </is>
      </c>
      <c r="C32" s="8" t="n">
        <v>2</v>
      </c>
      <c r="D32" t="inlineStr">
        <is>
          <t>шт</t>
        </is>
      </c>
      <c r="E32" t="inlineStr">
        <is>
          <t>S5</t>
        </is>
      </c>
    </row>
    <row r="33">
      <c r="A33" t="inlineStr">
        <is>
          <t>b24_month</t>
        </is>
      </c>
      <c r="B33" t="inlineStr">
        <is>
          <t>Битрикс24 «Стандартный» (оплата за год, без НДС)</t>
        </is>
      </c>
      <c r="C33" s="8" t="n">
        <v>30400</v>
      </c>
      <c r="D33" t="inlineStr">
        <is>
          <t>₸/мес</t>
        </is>
      </c>
      <c r="E33" t="inlineStr">
        <is>
          <t>S4</t>
        </is>
      </c>
    </row>
    <row r="34">
      <c r="A34" t="inlineStr">
        <is>
          <t>b24_setup_hours</t>
        </is>
      </c>
      <c r="B34" t="inlineStr">
        <is>
          <t>Битрикс24: настройка</t>
        </is>
      </c>
      <c r="C34" s="8" t="n">
        <v>40</v>
      </c>
      <c r="D34" t="inlineStr">
        <is>
          <t>ч</t>
        </is>
      </c>
      <c r="E34" t="inlineStr">
        <is>
          <t>A11</t>
        </is>
      </c>
    </row>
    <row r="35">
      <c r="A35" t="inlineStr">
        <is>
          <t>b24_support_h_month</t>
        </is>
      </c>
      <c r="B35" t="inlineStr">
        <is>
          <t>Битрикс24: администрирование</t>
        </is>
      </c>
      <c r="C35" s="8" t="n">
        <v>2</v>
      </c>
      <c r="D35" t="inlineStr">
        <is>
          <t>ч/мес</t>
        </is>
      </c>
      <c r="E35" t="inlineStr">
        <is>
          <t>A11</t>
        </is>
      </c>
    </row>
    <row r="36">
      <c r="A36" t="inlineStr">
        <is>
          <t>b24_benefit_share</t>
        </is>
      </c>
      <c r="B36" t="inlineStr">
        <is>
          <t>Битрикс24: доля закрываемого эффекта</t>
        </is>
      </c>
      <c r="C36" s="9" t="n">
        <v>0.8</v>
      </c>
      <c r="D36" t="inlineStr">
        <is>
          <t>%</t>
        </is>
      </c>
      <c r="E36" t="inlineStr">
        <is>
          <t>A11</t>
        </is>
      </c>
    </row>
    <row r="37">
      <c r="A37" t="inlineStr">
        <is>
          <t>decommission_hours</t>
        </is>
      </c>
      <c r="B37" t="inlineStr">
        <is>
          <t>Вывод своей системы из эксплуатации</t>
        </is>
      </c>
      <c r="C37" s="8" t="n">
        <v>16</v>
      </c>
      <c r="D37" t="inlineStr">
        <is>
          <t>ч</t>
        </is>
      </c>
      <c r="E37" t="inlineStr">
        <is>
          <t>A12</t>
        </is>
      </c>
    </row>
    <row r="38">
      <c r="A38" t="inlineStr">
        <is>
          <t>b24_decommission_hours</t>
        </is>
      </c>
      <c r="B38" t="inlineStr">
        <is>
          <t>Выгрузка данных из Битрикс24</t>
        </is>
      </c>
      <c r="C38" s="8" t="n">
        <v>8</v>
      </c>
      <c r="D38" t="inlineStr">
        <is>
          <t>ч</t>
        </is>
      </c>
      <c r="E38" t="inlineStr">
        <is>
          <t>A12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6" t="inlineStr">
        <is>
          <t>Ставки и годовой эффект (формулы видны в ячейках столбца B)</t>
        </is>
      </c>
    </row>
    <row r="3">
      <c r="A3" t="inlineStr">
        <is>
          <t>Стоимость часа методиста/куратора, ₸</t>
        </is>
      </c>
      <c r="B3" s="3">
        <f>salary_edu*payroll_factor/hours_month</f>
        <v/>
      </c>
    </row>
    <row r="4">
      <c r="A4" t="inlineStr">
        <is>
          <t>Стоимость часа разработчика, ₸</t>
        </is>
      </c>
      <c r="B4" s="3">
        <f>salary_dev*payroll_factor/hours_month</f>
        <v/>
      </c>
    </row>
    <row r="5">
      <c r="A5" t="inlineStr">
        <is>
          <t>Сэкономлено часов методиста в год</t>
        </is>
      </c>
      <c r="B5" s="10">
        <f>(methodist_h_before-methodist_h_after)*active_weeks</f>
        <v/>
      </c>
    </row>
    <row r="6">
      <c r="A6" t="inlineStr">
        <is>
          <t>Сэкономлено часов кураторов в год</t>
        </is>
      </c>
      <c r="B6" s="10">
        <f>curators*curator_h_week*curator_saving*curator_weeks</f>
        <v/>
      </c>
    </row>
    <row r="7">
      <c r="A7" t="inlineStr">
        <is>
          <t>Часы на разбор потерянных заявок в год</t>
        </is>
      </c>
      <c r="B7" s="10">
        <f>lost_cases_year*lost_case_hours</f>
        <v/>
      </c>
    </row>
    <row r="8">
      <c r="A8" t="inlineStr">
        <is>
          <t>Итого сэкономлено часов в год</t>
        </is>
      </c>
      <c r="B8" s="10">
        <f>h_methodist+h_curators+h_lost</f>
        <v/>
      </c>
    </row>
    <row r="9">
      <c r="A9" t="inlineStr">
        <is>
          <t>Годовой эффект при 100 % реализации, ₸</t>
        </is>
      </c>
      <c r="B9" s="3">
        <f>h_total*rate_edu</f>
        <v/>
      </c>
    </row>
    <row r="10">
      <c r="A10" t="inlineStr">
        <is>
          <t>Cost of delay: потеря в месяц без системы, ₸</t>
        </is>
      </c>
      <c r="B10" s="3">
        <f>annual_benefit/12</f>
        <v/>
      </c>
    </row>
    <row r="12">
      <c r="A12" s="11" t="inlineStr">
        <is>
          <t>Не монетизировано: прослеживаемый статус заявки (0 → 100 %), снижение риска по закону РК о персональных данных (заявки с ПДн сейчас лежат в почте и Excel), время студентов.</t>
        </is>
      </c>
    </row>
    <row r="13"/>
    <row r="14"/>
  </sheetData>
  <mergeCells count="1">
    <mergeCell ref="A12:B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6" t="inlineStr">
        <is>
          <t>TCO на 3 года по вариантам, ₸. Год 0 — внедрение (4 месяца), годы 1–3 — эксплуатация.</t>
        </is>
      </c>
    </row>
    <row r="3">
      <c r="A3" s="2" t="inlineStr">
        <is>
          <t>Вариант / статья</t>
        </is>
      </c>
      <c r="B3" s="2" t="inlineStr"/>
      <c r="C3" s="2" t="inlineStr">
        <is>
          <t>Год 0 (внедрение)</t>
        </is>
      </c>
      <c r="D3" s="2" t="inlineStr">
        <is>
          <t>Год 1</t>
        </is>
      </c>
      <c r="E3" s="2" t="inlineStr">
        <is>
          <t>Год 2</t>
        </is>
      </c>
      <c r="F3" s="2" t="inlineStr">
        <is>
          <t>Год 3</t>
        </is>
      </c>
      <c r="G3" s="2" t="inlineStr">
        <is>
          <t>Итого</t>
        </is>
      </c>
    </row>
    <row r="4">
      <c r="B4" t="inlineStr">
        <is>
          <t>Коэф. дисконтирования</t>
        </is>
      </c>
      <c r="C4" s="12">
        <f>1/(1+discount_rate)^0</f>
        <v/>
      </c>
      <c r="D4" s="12">
        <f>1/(1+discount_rate)^1</f>
        <v/>
      </c>
      <c r="E4" s="12">
        <f>1/(1+discount_rate)^2</f>
        <v/>
      </c>
      <c r="F4" s="12">
        <f>1/(1+discount_rate)^3</f>
        <v/>
      </c>
    </row>
    <row r="6">
      <c r="A6" s="13" t="inlineStr">
        <is>
          <t>В0. Ничего не делать (Excel + почта)</t>
        </is>
      </c>
      <c r="B6" s="14" t="n"/>
      <c r="C6" s="14" t="n"/>
      <c r="D6" s="14" t="n"/>
      <c r="E6" s="14" t="n"/>
      <c r="F6" s="14" t="n"/>
      <c r="G6" s="14" t="n"/>
    </row>
    <row r="7">
      <c r="A7" s="6" t="inlineStr">
        <is>
          <t>Итого затраты</t>
        </is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</row>
    <row r="8">
      <c r="A8" t="inlineStr">
        <is>
          <t>Выгода (экономия времени персонала)</t>
        </is>
      </c>
      <c r="C8" s="3">
        <f>annual_benefit*0*0</f>
        <v/>
      </c>
      <c r="D8" s="3">
        <f>annual_benefit*0*ramp_y1</f>
        <v/>
      </c>
      <c r="E8" s="3">
        <f>annual_benefit*0*1</f>
        <v/>
      </c>
      <c r="F8" s="3">
        <f>annual_benefit*0*1</f>
        <v/>
      </c>
      <c r="G8" s="3">
        <f>SUM(C8:F8)</f>
        <v/>
      </c>
    </row>
    <row r="9">
      <c r="A9" t="inlineStr">
        <is>
          <t>Чистый денежный поток</t>
        </is>
      </c>
      <c r="C9" s="3">
        <f>C8-C7</f>
        <v/>
      </c>
      <c r="D9" s="3">
        <f>D8-D7</f>
        <v/>
      </c>
      <c r="E9" s="3">
        <f>E8-E7</f>
        <v/>
      </c>
      <c r="F9" s="3">
        <f>F8-F7</f>
        <v/>
      </c>
      <c r="G9" s="3">
        <f>G8-G7</f>
        <v/>
      </c>
    </row>
    <row r="10">
      <c r="A10" t="inlineStr">
        <is>
          <t>Накопленный поток</t>
        </is>
      </c>
      <c r="C10" s="16">
        <f>C9</f>
        <v/>
      </c>
      <c r="D10" s="16">
        <f>C10+D9</f>
        <v/>
      </c>
      <c r="E10" s="16">
        <f>D10+E9</f>
        <v/>
      </c>
      <c r="F10" s="16">
        <f>E10+F9</f>
        <v/>
      </c>
    </row>
    <row r="12">
      <c r="A12" s="13" t="inlineStr">
        <is>
          <t>В1. Купить готовое: Битрикс24 «Стандартный»</t>
        </is>
      </c>
      <c r="B12" s="14" t="n"/>
      <c r="C12" s="14" t="n"/>
      <c r="D12" s="14" t="n"/>
      <c r="E12" s="14" t="n"/>
      <c r="F12" s="14" t="n"/>
      <c r="G12" s="14" t="n"/>
    </row>
    <row r="13">
      <c r="A13" t="inlineStr">
        <is>
          <t xml:space="preserve">   Подписка Битрикс24 «Стандартный» (с НДС)</t>
        </is>
      </c>
      <c r="C13" s="3">
        <f>b24_month*12*(1+vat)/3</f>
        <v/>
      </c>
      <c r="D13" s="3">
        <f>b24_month*12*(1+vat)</f>
        <v/>
      </c>
      <c r="E13" s="3">
        <f>b24_month*12*(1+vat)</f>
        <v/>
      </c>
      <c r="F13" s="3">
        <f>b24_month*12*(1+vat)</f>
        <v/>
      </c>
      <c r="G13" s="3">
        <f>SUM(C13:F13)</f>
        <v/>
      </c>
    </row>
    <row r="14">
      <c r="A14" t="inlineStr">
        <is>
          <t xml:space="preserve">   Настройка портала</t>
        </is>
      </c>
      <c r="C14" s="3">
        <f>b24_setup_hours*rate_dev</f>
        <v/>
      </c>
      <c r="D14" s="3" t="n">
        <v>0</v>
      </c>
      <c r="E14" s="3" t="n">
        <v>0</v>
      </c>
      <c r="F14" s="3" t="n">
        <v>0</v>
      </c>
      <c r="G14" s="3">
        <f>SUM(C14:F14)</f>
        <v/>
      </c>
    </row>
    <row r="15">
      <c r="A15" t="inlineStr">
        <is>
          <t xml:space="preserve">   Перенос данных из Excel</t>
        </is>
      </c>
      <c r="C15" s="3">
        <f>migration_hours*rate_dev</f>
        <v/>
      </c>
      <c r="D15" s="3" t="n">
        <v>0</v>
      </c>
      <c r="E15" s="3" t="n">
        <v>0</v>
      </c>
      <c r="F15" s="3" t="n">
        <v>0</v>
      </c>
      <c r="G15" s="3">
        <f>SUM(C15:F15)</f>
        <v/>
      </c>
    </row>
    <row r="16">
      <c r="A16" t="inlineStr">
        <is>
          <t xml:space="preserve">   Обучение персонала</t>
        </is>
      </c>
      <c r="C16" s="3">
        <f>users_trained*training_h_user*rate_edu</f>
        <v/>
      </c>
      <c r="D16" s="3">
        <f>retraining_h_year*rate_edu</f>
        <v/>
      </c>
      <c r="E16" s="3">
        <f>retraining_h_year*rate_edu</f>
        <v/>
      </c>
      <c r="F16" s="3">
        <f>retraining_h_year*rate_edu</f>
        <v/>
      </c>
      <c r="G16" s="3">
        <f>SUM(C16:F16)</f>
        <v/>
      </c>
    </row>
    <row r="17">
      <c r="A17" t="inlineStr">
        <is>
          <t xml:space="preserve">   Администрирование</t>
        </is>
      </c>
      <c r="C17" s="3" t="n">
        <v>0</v>
      </c>
      <c r="D17" s="3">
        <f>b24_support_h_month*12*rate_dev</f>
        <v/>
      </c>
      <c r="E17" s="3">
        <f>b24_support_h_month*12*rate_dev</f>
        <v/>
      </c>
      <c r="F17" s="3">
        <f>b24_support_h_month*12*rate_dev</f>
        <v/>
      </c>
      <c r="G17" s="3">
        <f>SUM(C17:F17)</f>
        <v/>
      </c>
    </row>
    <row r="18">
      <c r="A18" t="inlineStr">
        <is>
          <t xml:space="preserve">   Выгрузка данных при отказе</t>
        </is>
      </c>
      <c r="C18" s="3" t="n">
        <v>0</v>
      </c>
      <c r="D18" s="3" t="n">
        <v>0</v>
      </c>
      <c r="E18" s="3" t="n">
        <v>0</v>
      </c>
      <c r="F18" s="3">
        <f>b24_decommission_hours*rate_dev</f>
        <v/>
      </c>
      <c r="G18" s="3">
        <f>SUM(C18:F18)</f>
        <v/>
      </c>
    </row>
    <row r="19">
      <c r="A19" s="6" t="inlineStr">
        <is>
          <t>Итого затраты</t>
        </is>
      </c>
      <c r="C19" s="15">
        <f>SUM(C13:C18)</f>
        <v/>
      </c>
      <c r="D19" s="15">
        <f>SUM(D13:D18)</f>
        <v/>
      </c>
      <c r="E19" s="15">
        <f>SUM(E13:E18)</f>
        <v/>
      </c>
      <c r="F19" s="15">
        <f>SUM(F13:F18)</f>
        <v/>
      </c>
      <c r="G19" s="15">
        <f>SUM(G13:G18)</f>
        <v/>
      </c>
    </row>
    <row r="20">
      <c r="A20" t="inlineStr">
        <is>
          <t>Выгода (экономия времени персонала)</t>
        </is>
      </c>
      <c r="C20" s="3">
        <f>annual_benefit*b24_benefit_share*0</f>
        <v/>
      </c>
      <c r="D20" s="3">
        <f>annual_benefit*b24_benefit_share*ramp_y1</f>
        <v/>
      </c>
      <c r="E20" s="3">
        <f>annual_benefit*b24_benefit_share*1</f>
        <v/>
      </c>
      <c r="F20" s="3">
        <f>annual_benefit*b24_benefit_share*1</f>
        <v/>
      </c>
      <c r="G20" s="3">
        <f>SUM(C20:F20)</f>
        <v/>
      </c>
    </row>
    <row r="21">
      <c r="A21" t="inlineStr">
        <is>
          <t>Чистый денежный поток</t>
        </is>
      </c>
      <c r="C21" s="3">
        <f>C20-C19</f>
        <v/>
      </c>
      <c r="D21" s="3">
        <f>D20-D19</f>
        <v/>
      </c>
      <c r="E21" s="3">
        <f>E20-E19</f>
        <v/>
      </c>
      <c r="F21" s="3">
        <f>F20-F19</f>
        <v/>
      </c>
      <c r="G21" s="3">
        <f>G20-G19</f>
        <v/>
      </c>
    </row>
    <row r="22">
      <c r="A22" t="inlineStr">
        <is>
          <t>Накопленный поток</t>
        </is>
      </c>
      <c r="C22" s="16">
        <f>C21</f>
        <v/>
      </c>
      <c r="D22" s="16">
        <f>C22+D21</f>
        <v/>
      </c>
      <c r="E22" s="16">
        <f>D22+E21</f>
        <v/>
      </c>
      <c r="F22" s="16">
        <f>E22+F21</f>
        <v/>
      </c>
    </row>
    <row r="24">
      <c r="A24" s="13" t="inlineStr">
        <is>
          <t>В2. Своя разработка, проприетарный стек (Windows Server + SQL Server)</t>
        </is>
      </c>
      <c r="B24" s="14" t="n"/>
      <c r="C24" s="14" t="n"/>
      <c r="D24" s="14" t="n"/>
      <c r="E24" s="14" t="n"/>
      <c r="F24" s="14" t="n"/>
      <c r="G24" s="14" t="n"/>
    </row>
    <row r="25">
      <c r="A25" t="inlineStr">
        <is>
          <t xml:space="preserve">   Разработка MVP</t>
        </is>
      </c>
      <c r="C25" s="3">
        <f>(dev_hours+pm_ba_hours)*rate_dev</f>
        <v/>
      </c>
      <c r="D25" s="3" t="n">
        <v>0</v>
      </c>
      <c r="E25" s="3" t="n">
        <v>0</v>
      </c>
      <c r="F25" s="3" t="n">
        <v>0</v>
      </c>
      <c r="G25" s="3">
        <f>SUM(C25:F25)</f>
        <v/>
      </c>
    </row>
    <row r="26">
      <c r="A26" t="inlineStr">
        <is>
          <t xml:space="preserve">   Лицензии Windows Server + SQL Server (с НДС)</t>
        </is>
      </c>
      <c r="C26" s="3">
        <f>(ws_license_usd+sql_2core_usd*sql_packs)*usd_kzt*(1+vat)</f>
        <v/>
      </c>
      <c r="D26" s="3" t="n">
        <v>0</v>
      </c>
      <c r="E26" s="3" t="n">
        <v>0</v>
      </c>
      <c r="F26" s="3" t="n">
        <v>0</v>
      </c>
      <c r="G26" s="3">
        <f>SUM(C26:F26)</f>
        <v/>
      </c>
    </row>
    <row r="27">
      <c r="A27" t="inlineStr">
        <is>
          <t xml:space="preserve">   Инфраструктура: VPS + резервные копии</t>
        </is>
      </c>
      <c r="C27" s="3">
        <f>(vps_month+backup_vps_month)*12/3</f>
        <v/>
      </c>
      <c r="D27" s="3">
        <f>(vps_month+backup_vps_month)*12</f>
        <v/>
      </c>
      <c r="E27" s="3">
        <f>(vps_month+backup_vps_month)*12</f>
        <v/>
      </c>
      <c r="F27" s="3">
        <f>(vps_month+backup_vps_month)*12</f>
        <v/>
      </c>
      <c r="G27" s="3">
        <f>SUM(C27:F27)</f>
        <v/>
      </c>
    </row>
    <row r="28">
      <c r="A28" t="inlineStr">
        <is>
          <t xml:space="preserve">   Перенос данных из Excel</t>
        </is>
      </c>
      <c r="C28" s="3">
        <f>migration_hours*rate_dev</f>
        <v/>
      </c>
      <c r="D28" s="3" t="n">
        <v>0</v>
      </c>
      <c r="E28" s="3" t="n">
        <v>0</v>
      </c>
      <c r="F28" s="3" t="n">
        <v>0</v>
      </c>
      <c r="G28" s="3">
        <f>SUM(C28:F28)</f>
        <v/>
      </c>
    </row>
    <row r="29">
      <c r="A29" t="inlineStr">
        <is>
          <t xml:space="preserve">   Обучение персонала</t>
        </is>
      </c>
      <c r="C29" s="3">
        <f>users_trained*training_h_user*rate_edu</f>
        <v/>
      </c>
      <c r="D29" s="3">
        <f>retraining_h_year*rate_edu</f>
        <v/>
      </c>
      <c r="E29" s="3">
        <f>retraining_h_year*rate_edu</f>
        <v/>
      </c>
      <c r="F29" s="3">
        <f>retraining_h_year*rate_edu</f>
        <v/>
      </c>
      <c r="G29" s="3">
        <f>SUM(C29:F29)</f>
        <v/>
      </c>
    </row>
    <row r="30">
      <c r="A30" t="inlineStr">
        <is>
          <t xml:space="preserve">   Поддержка и сопровождение</t>
        </is>
      </c>
      <c r="C30" s="3" t="n">
        <v>0</v>
      </c>
      <c r="D30" s="3">
        <f>support_h_month*12*rate_dev</f>
        <v/>
      </c>
      <c r="E30" s="3">
        <f>support_h_month*12*rate_dev</f>
        <v/>
      </c>
      <c r="F30" s="3">
        <f>support_h_month*12*rate_dev</f>
        <v/>
      </c>
      <c r="G30" s="3">
        <f>SUM(C30:F30)</f>
        <v/>
      </c>
    </row>
    <row r="31">
      <c r="A31" t="inlineStr">
        <is>
          <t xml:space="preserve">   Вывод из эксплуатации</t>
        </is>
      </c>
      <c r="C31" s="3" t="n">
        <v>0</v>
      </c>
      <c r="D31" s="3" t="n">
        <v>0</v>
      </c>
      <c r="E31" s="3" t="n">
        <v>0</v>
      </c>
      <c r="F31" s="3">
        <f>decommission_hours*rate_dev</f>
        <v/>
      </c>
      <c r="G31" s="3">
        <f>SUM(C31:F31)</f>
        <v/>
      </c>
    </row>
    <row r="32">
      <c r="A32" s="6" t="inlineStr">
        <is>
          <t>Итого затраты</t>
        </is>
      </c>
      <c r="C32" s="15">
        <f>SUM(C25:C31)</f>
        <v/>
      </c>
      <c r="D32" s="15">
        <f>SUM(D25:D31)</f>
        <v/>
      </c>
      <c r="E32" s="15">
        <f>SUM(E25:E31)</f>
        <v/>
      </c>
      <c r="F32" s="15">
        <f>SUM(F25:F31)</f>
        <v/>
      </c>
      <c r="G32" s="15">
        <f>SUM(G25:G31)</f>
        <v/>
      </c>
    </row>
    <row r="33">
      <c r="A33" t="inlineStr">
        <is>
          <t>Выгода (экономия времени персонала)</t>
        </is>
      </c>
      <c r="C33" s="3">
        <f>annual_benefit*1*0</f>
        <v/>
      </c>
      <c r="D33" s="3">
        <f>annual_benefit*1*ramp_y1</f>
        <v/>
      </c>
      <c r="E33" s="3">
        <f>annual_benefit*1*1</f>
        <v/>
      </c>
      <c r="F33" s="3">
        <f>annual_benefit*1*1</f>
        <v/>
      </c>
      <c r="G33" s="3">
        <f>SUM(C33:F33)</f>
        <v/>
      </c>
    </row>
    <row r="34">
      <c r="A34" t="inlineStr">
        <is>
          <t>Чистый денежный поток</t>
        </is>
      </c>
      <c r="C34" s="3">
        <f>C33-C32</f>
        <v/>
      </c>
      <c r="D34" s="3">
        <f>D33-D32</f>
        <v/>
      </c>
      <c r="E34" s="3">
        <f>E33-E32</f>
        <v/>
      </c>
      <c r="F34" s="3">
        <f>F33-F32</f>
        <v/>
      </c>
      <c r="G34" s="3">
        <f>G33-G32</f>
        <v/>
      </c>
    </row>
    <row r="35">
      <c r="A35" t="inlineStr">
        <is>
          <t>Накопленный поток</t>
        </is>
      </c>
      <c r="C35" s="16">
        <f>C34</f>
        <v/>
      </c>
      <c r="D35" s="16">
        <f>C35+D34</f>
        <v/>
      </c>
      <c r="E35" s="16">
        <f>D35+E34</f>
        <v/>
      </c>
      <c r="F35" s="16">
        <f>E35+F34</f>
        <v/>
      </c>
    </row>
    <row r="37">
      <c r="A37" s="13" t="inlineStr">
        <is>
          <t>В3. Своя разработка, открытый стек (Linux + PostgreSQL + Python)</t>
        </is>
      </c>
      <c r="B37" s="14" t="n"/>
      <c r="C37" s="14" t="n"/>
      <c r="D37" s="14" t="n"/>
      <c r="E37" s="14" t="n"/>
      <c r="F37" s="14" t="n"/>
      <c r="G37" s="14" t="n"/>
    </row>
    <row r="38">
      <c r="A38" t="inlineStr">
        <is>
          <t xml:space="preserve">   Разработка MVP</t>
        </is>
      </c>
      <c r="C38" s="3">
        <f>(dev_hours+pm_ba_hours)*rate_dev</f>
        <v/>
      </c>
      <c r="D38" s="3" t="n">
        <v>0</v>
      </c>
      <c r="E38" s="3" t="n">
        <v>0</v>
      </c>
      <c r="F38" s="3" t="n">
        <v>0</v>
      </c>
      <c r="G38" s="3">
        <f>SUM(C38:F38)</f>
        <v/>
      </c>
    </row>
    <row r="39">
      <c r="A39" t="inlineStr">
        <is>
          <t xml:space="preserve">   Инфраструктура: VPS + резервные копии</t>
        </is>
      </c>
      <c r="C39" s="3">
        <f>(vps_month+backup_vps_month)*12/3</f>
        <v/>
      </c>
      <c r="D39" s="3">
        <f>(vps_month+backup_vps_month)*12</f>
        <v/>
      </c>
      <c r="E39" s="3">
        <f>(vps_month+backup_vps_month)*12</f>
        <v/>
      </c>
      <c r="F39" s="3">
        <f>(vps_month+backup_vps_month)*12</f>
        <v/>
      </c>
      <c r="G39" s="3">
        <f>SUM(C39:F39)</f>
        <v/>
      </c>
    </row>
    <row r="40">
      <c r="A40" t="inlineStr">
        <is>
          <t xml:space="preserve">   Перенос данных из Excel</t>
        </is>
      </c>
      <c r="C40" s="3">
        <f>migration_hours*rate_dev</f>
        <v/>
      </c>
      <c r="D40" s="3" t="n">
        <v>0</v>
      </c>
      <c r="E40" s="3" t="n">
        <v>0</v>
      </c>
      <c r="F40" s="3" t="n">
        <v>0</v>
      </c>
      <c r="G40" s="3">
        <f>SUM(C40:F40)</f>
        <v/>
      </c>
    </row>
    <row r="41">
      <c r="A41" t="inlineStr">
        <is>
          <t xml:space="preserve">   Обучение персонала</t>
        </is>
      </c>
      <c r="C41" s="3">
        <f>users_trained*training_h_user*rate_edu</f>
        <v/>
      </c>
      <c r="D41" s="3">
        <f>retraining_h_year*rate_edu</f>
        <v/>
      </c>
      <c r="E41" s="3">
        <f>retraining_h_year*rate_edu</f>
        <v/>
      </c>
      <c r="F41" s="3">
        <f>retraining_h_year*rate_edu</f>
        <v/>
      </c>
      <c r="G41" s="3">
        <f>SUM(C41:F41)</f>
        <v/>
      </c>
    </row>
    <row r="42">
      <c r="A42" t="inlineStr">
        <is>
          <t xml:space="preserve">   Поддержка и сопровождение</t>
        </is>
      </c>
      <c r="C42" s="3" t="n">
        <v>0</v>
      </c>
      <c r="D42" s="3">
        <f>support_h_month*12*rate_dev</f>
        <v/>
      </c>
      <c r="E42" s="3">
        <f>support_h_month*12*rate_dev</f>
        <v/>
      </c>
      <c r="F42" s="3">
        <f>support_h_month*12*rate_dev</f>
        <v/>
      </c>
      <c r="G42" s="3">
        <f>SUM(C42:F42)</f>
        <v/>
      </c>
    </row>
    <row r="43">
      <c r="A43" t="inlineStr">
        <is>
          <t xml:space="preserve">   Вывод из эксплуатации</t>
        </is>
      </c>
      <c r="C43" s="3" t="n">
        <v>0</v>
      </c>
      <c r="D43" s="3" t="n">
        <v>0</v>
      </c>
      <c r="E43" s="3" t="n">
        <v>0</v>
      </c>
      <c r="F43" s="3">
        <f>decommission_hours*rate_dev</f>
        <v/>
      </c>
      <c r="G43" s="3">
        <f>SUM(C43:F43)</f>
        <v/>
      </c>
    </row>
    <row r="44">
      <c r="A44" s="6" t="inlineStr">
        <is>
          <t>Итого затраты</t>
        </is>
      </c>
      <c r="C44" s="15">
        <f>SUM(C38:C43)</f>
        <v/>
      </c>
      <c r="D44" s="15">
        <f>SUM(D38:D43)</f>
        <v/>
      </c>
      <c r="E44" s="15">
        <f>SUM(E38:E43)</f>
        <v/>
      </c>
      <c r="F44" s="15">
        <f>SUM(F38:F43)</f>
        <v/>
      </c>
      <c r="G44" s="15">
        <f>SUM(G38:G43)</f>
        <v/>
      </c>
    </row>
    <row r="45">
      <c r="A45" t="inlineStr">
        <is>
          <t>Выгода (экономия времени персонала)</t>
        </is>
      </c>
      <c r="C45" s="3">
        <f>annual_benefit*1*0</f>
        <v/>
      </c>
      <c r="D45" s="3">
        <f>annual_benefit*1*ramp_y1</f>
        <v/>
      </c>
      <c r="E45" s="3">
        <f>annual_benefit*1*1</f>
        <v/>
      </c>
      <c r="F45" s="3">
        <f>annual_benefit*1*1</f>
        <v/>
      </c>
      <c r="G45" s="3">
        <f>SUM(C45:F45)</f>
        <v/>
      </c>
    </row>
    <row r="46">
      <c r="A46" t="inlineStr">
        <is>
          <t>Чистый денежный поток</t>
        </is>
      </c>
      <c r="C46" s="3">
        <f>C45-C44</f>
        <v/>
      </c>
      <c r="D46" s="3">
        <f>D45-D44</f>
        <v/>
      </c>
      <c r="E46" s="3">
        <f>E45-E44</f>
        <v/>
      </c>
      <c r="F46" s="3">
        <f>F45-F44</f>
        <v/>
      </c>
      <c r="G46" s="3">
        <f>G45-G44</f>
        <v/>
      </c>
    </row>
    <row r="47">
      <c r="A47" t="inlineStr">
        <is>
          <t>Накопленный поток</t>
        </is>
      </c>
      <c r="C47" s="16">
        <f>C46</f>
        <v/>
      </c>
      <c r="D47" s="16">
        <f>C47+D46</f>
        <v/>
      </c>
      <c r="E47" s="16">
        <f>D47+E46</f>
        <v/>
      </c>
      <c r="F47" s="16">
        <f>E47+F46</f>
        <v/>
      </c>
    </row>
    <row r="49">
      <c r="A49" s="13" t="inlineStr">
        <is>
          <t>В3-С. Открытый стек силами студенческой команды (рекомендуется)</t>
        </is>
      </c>
      <c r="B49" s="14" t="n"/>
      <c r="C49" s="14" t="n"/>
      <c r="D49" s="14" t="n"/>
      <c r="E49" s="14" t="n"/>
      <c r="F49" s="14" t="n"/>
      <c r="G49" s="14" t="n"/>
    </row>
    <row r="50">
      <c r="A50" t="inlineStr">
        <is>
          <t xml:space="preserve">   Разработка MVP (труд студентов, A13)</t>
        </is>
      </c>
      <c r="C50" s="3">
        <f>0</f>
        <v/>
      </c>
      <c r="D50" s="3" t="n">
        <v>0</v>
      </c>
      <c r="E50" s="3" t="n">
        <v>0</v>
      </c>
      <c r="F50" s="3" t="n">
        <v>0</v>
      </c>
      <c r="G50" s="3">
        <f>SUM(C50:F50)</f>
        <v/>
      </c>
    </row>
    <row r="51">
      <c r="A51" t="inlineStr">
        <is>
          <t xml:space="preserve">   Инфраструктура: VPS + резервные копии</t>
        </is>
      </c>
      <c r="C51" s="3">
        <f>(vps_month+backup_vps_month)*12/3</f>
        <v/>
      </c>
      <c r="D51" s="3">
        <f>(vps_month+backup_vps_month)*12</f>
        <v/>
      </c>
      <c r="E51" s="3">
        <f>(vps_month+backup_vps_month)*12</f>
        <v/>
      </c>
      <c r="F51" s="3">
        <f>(vps_month+backup_vps_month)*12</f>
        <v/>
      </c>
      <c r="G51" s="3">
        <f>SUM(C51:F51)</f>
        <v/>
      </c>
    </row>
    <row r="52">
      <c r="A52" t="inlineStr">
        <is>
          <t xml:space="preserve">   Перенос данных из Excel</t>
        </is>
      </c>
      <c r="C52" s="3">
        <f>migration_hours*rate_dev</f>
        <v/>
      </c>
      <c r="D52" s="3" t="n">
        <v>0</v>
      </c>
      <c r="E52" s="3" t="n">
        <v>0</v>
      </c>
      <c r="F52" s="3" t="n">
        <v>0</v>
      </c>
      <c r="G52" s="3">
        <f>SUM(C52:F52)</f>
        <v/>
      </c>
    </row>
    <row r="53">
      <c r="A53" t="inlineStr">
        <is>
          <t xml:space="preserve">   Обучение персонала</t>
        </is>
      </c>
      <c r="C53" s="3">
        <f>users_trained*training_h_user*rate_edu</f>
        <v/>
      </c>
      <c r="D53" s="3">
        <f>retraining_h_year*rate_edu</f>
        <v/>
      </c>
      <c r="E53" s="3">
        <f>retraining_h_year*rate_edu</f>
        <v/>
      </c>
      <c r="F53" s="3">
        <f>retraining_h_year*rate_edu</f>
        <v/>
      </c>
      <c r="G53" s="3">
        <f>SUM(C53:F53)</f>
        <v/>
      </c>
    </row>
    <row r="54">
      <c r="A54" t="inlineStr">
        <is>
          <t xml:space="preserve">   Поддержка и сопровождение</t>
        </is>
      </c>
      <c r="C54" s="3" t="n">
        <v>0</v>
      </c>
      <c r="D54" s="3">
        <f>support_h_month*12*rate_dev</f>
        <v/>
      </c>
      <c r="E54" s="3">
        <f>support_h_month*12*rate_dev</f>
        <v/>
      </c>
      <c r="F54" s="3">
        <f>support_h_month*12*rate_dev</f>
        <v/>
      </c>
      <c r="G54" s="3">
        <f>SUM(C54:F54)</f>
        <v/>
      </c>
    </row>
    <row r="55">
      <c r="A55" t="inlineStr">
        <is>
          <t xml:space="preserve">   Вывод из эксплуатации</t>
        </is>
      </c>
      <c r="C55" s="3" t="n">
        <v>0</v>
      </c>
      <c r="D55" s="3" t="n">
        <v>0</v>
      </c>
      <c r="E55" s="3" t="n">
        <v>0</v>
      </c>
      <c r="F55" s="3">
        <f>decommission_hours*rate_dev</f>
        <v/>
      </c>
      <c r="G55" s="3">
        <f>SUM(C55:F55)</f>
        <v/>
      </c>
    </row>
    <row r="56">
      <c r="A56" s="6" t="inlineStr">
        <is>
          <t>Итого затраты</t>
        </is>
      </c>
      <c r="C56" s="15">
        <f>SUM(C50:C55)</f>
        <v/>
      </c>
      <c r="D56" s="15">
        <f>SUM(D50:D55)</f>
        <v/>
      </c>
      <c r="E56" s="15">
        <f>SUM(E50:E55)</f>
        <v/>
      </c>
      <c r="F56" s="15">
        <f>SUM(F50:F55)</f>
        <v/>
      </c>
      <c r="G56" s="15">
        <f>SUM(G50:G55)</f>
        <v/>
      </c>
    </row>
    <row r="57">
      <c r="A57" t="inlineStr">
        <is>
          <t>Выгода (экономия времени персонала)</t>
        </is>
      </c>
      <c r="C57" s="3">
        <f>annual_benefit*1*0</f>
        <v/>
      </c>
      <c r="D57" s="3">
        <f>annual_benefit*1*ramp_y1</f>
        <v/>
      </c>
      <c r="E57" s="3">
        <f>annual_benefit*1*1</f>
        <v/>
      </c>
      <c r="F57" s="3">
        <f>annual_benefit*1*1</f>
        <v/>
      </c>
      <c r="G57" s="3">
        <f>SUM(C57:F57)</f>
        <v/>
      </c>
    </row>
    <row r="58">
      <c r="A58" t="inlineStr">
        <is>
          <t>Чистый денежный поток</t>
        </is>
      </c>
      <c r="C58" s="3">
        <f>C57-C56</f>
        <v/>
      </c>
      <c r="D58" s="3">
        <f>D57-D56</f>
        <v/>
      </c>
      <c r="E58" s="3">
        <f>E57-E56</f>
        <v/>
      </c>
      <c r="F58" s="3">
        <f>F57-F56</f>
        <v/>
      </c>
      <c r="G58" s="3">
        <f>G57-G56</f>
        <v/>
      </c>
    </row>
    <row r="59">
      <c r="A59" t="inlineStr">
        <is>
          <t>Накопленный поток</t>
        </is>
      </c>
      <c r="C59" s="16">
        <f>C58</f>
        <v/>
      </c>
      <c r="D59" s="16">
        <f>C59+D58</f>
        <v/>
      </c>
      <c r="E59" s="16">
        <f>D59+E58</f>
        <v/>
      </c>
      <c r="F59" s="16">
        <f>E59+F58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" customWidth="1" min="1" max="1"/>
    <col width="130" customWidth="1" min="2" max="2"/>
  </cols>
  <sheetData>
    <row r="1">
      <c r="A1" s="2" t="inlineStr">
        <is>
          <t>ID</t>
        </is>
      </c>
      <c r="B1" s="2" t="inlineStr">
        <is>
          <t>Источник (открытый, дата обращения 24.09.2026) / допущение</t>
        </is>
      </c>
    </row>
    <row r="2">
      <c r="A2" t="inlineStr">
        <is>
          <t>S1</t>
        </is>
      </c>
      <c r="B2" s="11" t="inlineStr">
        <is>
          <t>Бюро национальной статистики АСПиР РК. Заработная плата за I квартал 2026 года — stat.gov.kz/ru/news/zarabotnaya-plata-za-i-kvartal-2026-goda/</t>
        </is>
      </c>
    </row>
    <row r="3">
      <c r="A3" t="inlineStr">
        <is>
          <t>S2</t>
        </is>
      </c>
      <c r="B3" s="11" t="inlineStr">
        <is>
          <t>Taylor.kz. Зарплата Python-разработчика в Казахстане 2026 (Junior — среднее 468 000 ₸) — taylor.kz/salaries/python</t>
        </is>
      </c>
    </row>
    <row r="4">
      <c r="A4" t="inlineStr">
        <is>
          <t>S3</t>
        </is>
      </c>
      <c r="B4" s="11" t="inlineStr">
        <is>
          <t>Hoster.kz. Облачные серверы, прайс — hoster.kz/cloud/vps/</t>
        </is>
      </c>
    </row>
    <row r="5">
      <c r="A5" t="inlineStr">
        <is>
          <t>S4</t>
        </is>
      </c>
      <c r="B5" s="11" t="inlineStr">
        <is>
          <t>Битрикс24 Казахстан. Тарифы и цены (без НДС) — bitrix24.kz/prices/</t>
        </is>
      </c>
    </row>
    <row r="6">
      <c r="A6" t="inlineStr">
        <is>
          <t>S5</t>
        </is>
      </c>
      <c r="B6" s="11" t="inlineStr">
        <is>
          <t>Microsoft. SQL Server 2025 Pricing (PDF, $3 945 за 2 ядра Standard); Microsoft Store: Windows Server 2025 Standard 16 core ($1 176) — microsoft.com</t>
        </is>
      </c>
    </row>
    <row r="7">
      <c r="A7" t="inlineStr">
        <is>
          <t>S6</t>
        </is>
      </c>
      <c r="B7" s="11" t="inlineStr">
        <is>
          <t>Национальный Банк РК. Официальный курс USD/KZT на 24.09.2026 = 445,65 ₸ — nationalbank.kz</t>
        </is>
      </c>
    </row>
    <row r="8">
      <c r="A8" t="inlineStr">
        <is>
          <t>S7</t>
        </is>
      </c>
      <c r="B8" s="11" t="inlineStr">
        <is>
          <t>Национальный Банк РК. О снижении базовой ставки до 16,25 % (04.09.2026) — nationalbank.kz/ru/news/press-relizy/20266</t>
        </is>
      </c>
    </row>
    <row r="9">
      <c r="A9" t="inlineStr">
        <is>
          <t>S8</t>
        </is>
      </c>
      <c r="B9" s="11" t="inlineStr">
        <is>
          <t>Налоговый кодекс РК (действует с 01.01.2026): ставка НДС 16 % — adilet.zan.kz</t>
        </is>
      </c>
    </row>
    <row r="10">
      <c r="A10" t="inlineStr">
        <is>
          <t>A1</t>
        </is>
      </c>
      <c r="B10" s="11" t="inlineStr">
        <is>
          <t>Начисления работодателя на ФОТ — коэффициент 1,15 (социальный налог и взносы, укрупнённо).</t>
        </is>
      </c>
    </row>
    <row r="11">
      <c r="A11" t="inlineStr">
        <is>
          <t>A2</t>
        </is>
      </c>
      <c r="B11" s="11" t="inlineStr">
        <is>
          <t>168 рабочих часов в месяце (40 ч × 4,2 недели).</t>
        </is>
      </c>
    </row>
    <row r="12">
      <c r="A12" t="inlineStr">
        <is>
          <t>A3</t>
        </is>
      </c>
      <c r="B12" s="11" t="inlineStr">
        <is>
          <t>Методист сейчас тратит 4 ч/нед на сведение заявок, после внедрения — 1 ч/нед (карточка проекта ЛЗ 1; подтвердить у заказчика).</t>
        </is>
      </c>
    </row>
    <row r="13">
      <c r="A13" t="inlineStr">
        <is>
          <t>A4</t>
        </is>
      </c>
      <c r="B13" s="11" t="inlineStr">
        <is>
          <t>Поток заявок идёт 36 недель в году (два семестра).</t>
        </is>
      </c>
    </row>
    <row r="14">
      <c r="A14" t="inlineStr">
        <is>
          <t>A5</t>
        </is>
      </c>
      <c r="B14" s="11" t="inlineStr">
        <is>
          <t>12 кураторов по 0,5 ч/нед выясняют статусы и сроки отчётов 30 недель в году; система снимает половину этого времени.</t>
        </is>
      </c>
    </row>
    <row r="15">
      <c r="A15" t="inlineStr">
        <is>
          <t>A6</t>
        </is>
      </c>
      <c r="B15" s="11" t="inlineStr">
        <is>
          <t>В первый год эксплуатации реализуется 80 % эффекта (адаптация пользователей).</t>
        </is>
      </c>
    </row>
    <row r="16">
      <c r="A16" t="inlineStr">
        <is>
          <t>A7</t>
        </is>
      </c>
      <c r="B16" s="11" t="inlineStr">
        <is>
          <t>Трудоёмкость MVP: 480 ч разработки + 120 ч PM/аналитики (уточняется в ЗС 5–6).</t>
        </is>
      </c>
    </row>
    <row r="17">
      <c r="A17" t="inlineStr">
        <is>
          <t>A8</t>
        </is>
      </c>
      <c r="B17" s="11" t="inlineStr">
        <is>
          <t>Перенос исторических данных из Excel — 16 ч.</t>
        </is>
      </c>
    </row>
    <row r="18">
      <c r="A18" t="inlineStr">
        <is>
          <t>A9</t>
        </is>
      </c>
      <c r="B18" s="11" t="inlineStr">
        <is>
          <t>Обучение: 15 пользователей × 2 ч в году 0; далее 15 ч/год на новых кураторов.</t>
        </is>
      </c>
    </row>
    <row r="19">
      <c r="A19" t="inlineStr">
        <is>
          <t>A10</t>
        </is>
      </c>
      <c r="B19" s="11" t="inlineStr">
        <is>
          <t>Поддержка собственной системы — 4 ч/мес по ставке junior-разработчика (обновления, резервные копии, мелкие правки).</t>
        </is>
      </c>
    </row>
    <row r="20">
      <c r="A20" t="inlineStr">
        <is>
          <t>A11</t>
        </is>
      </c>
      <c r="B20" s="11" t="inlineStr">
        <is>
          <t>Битрикс24: 40 ч настройки, 2 ч/мес администрирования; типовая CRM закрывает ~80 % эффекта (нет кабинета студента под наш процесс).</t>
        </is>
      </c>
    </row>
    <row r="21">
      <c r="A21" t="inlineStr">
        <is>
          <t>A12</t>
        </is>
      </c>
      <c r="B21" s="11" t="inlineStr">
        <is>
          <t>Вывод из эксплуатации в конце года 3: 16 ч для своей системы, 8 ч для Битрикс24.</t>
        </is>
      </c>
    </row>
    <row r="22">
      <c r="A22" t="inlineStr">
        <is>
          <t>A13</t>
        </is>
      </c>
      <c r="B22" s="11" t="inlineStr">
        <is>
          <t>Вариант В3-С: труд студенческой команды в году 0 университет не оплачивает (учебный проект), поддержку с года 1 берёт ИТ-отдел по рыночной ставке.</t>
        </is>
      </c>
    </row>
    <row r="23">
      <c r="A23" t="inlineStr">
        <is>
          <t>A14</t>
        </is>
      </c>
      <c r="B23" s="11" t="inlineStr">
        <is>
          <t>Проприетарный стек размещается на том же VPS по модели BYOL; лицензии бессрочные, без Software Assurance; разработка по трудоёмкости как в В3.</t>
        </is>
      </c>
    </row>
    <row r="24">
      <c r="A24" t="inlineStr">
        <is>
          <t>A15</t>
        </is>
      </c>
      <c r="B24" s="11" t="inlineStr">
        <is>
          <t>Эффект начинается с года 1; в году 0 стенд работает 4 месяца (1/3 годовой стоимости инфраструктуры/подписки).</t>
        </is>
      </c>
    </row>
    <row r="25">
      <c r="A25" t="inlineStr">
        <is>
          <t>A16</t>
        </is>
      </c>
      <c r="B25" s="11" t="inlineStr">
        <is>
          <t>«Несколько раз в семестр» (карточка ЛЗ 1) = 8 потерянных заявок в год; разбор каждой (поиск, извинения, повторная маршрутизация) — 3 ч методиста.</t>
        </is>
      </c>
    </row>
    <row r="26">
      <c r="A26" t="inlineStr">
        <is>
          <t>A17</t>
        </is>
      </c>
      <c r="B26" s="11" t="inlineStr">
        <is>
          <t>Нагрузка 30–40 заявок в неделю и до 15 сотрудников: сервера 1 vCPU / 2 ГБ достаточно для FastAPI + PostgreSQL (проверить нагрузочным тестом в ЗС 11).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2026-09-24T10:57:30Z</dcterms:created>
  <dcterms:modified xmlns:dcterms="http://purl.org/dc/terms/" xmlns:xsi="http://www.w3.org/2001/XMLSchema-instance" xsi:type="dcterms:W3CDTF">2026-09-24T10:57:30Z</dcterms:modified>
</cp:coreProperties>
</file>